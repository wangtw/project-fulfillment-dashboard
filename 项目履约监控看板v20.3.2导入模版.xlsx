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angtw\Desktop\"/>
    </mc:Choice>
  </mc:AlternateContent>
  <xr:revisionPtr revIDLastSave="0" documentId="13_ncr:1_{1084B723-2AFE-4050-A0C4-AB5A65CC1A9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2" i="1"/>
</calcChain>
</file>

<file path=xl/sharedStrings.xml><?xml version="1.0" encoding="utf-8"?>
<sst xmlns="http://schemas.openxmlformats.org/spreadsheetml/2006/main" count="37" uniqueCount="32">
  <si>
    <t>交付经理</t>
  </si>
  <si>
    <t>项目名称</t>
  </si>
  <si>
    <t>L-Level</t>
  </si>
  <si>
    <t>状态</t>
  </si>
  <si>
    <t>开始时间</t>
  </si>
  <si>
    <t>结束时间</t>
  </si>
  <si>
    <t>内因延期</t>
  </si>
  <si>
    <t>外因延期</t>
  </si>
  <si>
    <t>安全事故</t>
  </si>
  <si>
    <t>审批</t>
  </si>
  <si>
    <t>备注</t>
  </si>
  <si>
    <t>张三</t>
  </si>
  <si>
    <t>ERP系统二期</t>
  </si>
  <si>
    <t>P3</t>
  </si>
  <si>
    <t>交付中</t>
  </si>
  <si>
    <t>否</t>
  </si>
  <si>
    <t>无</t>
  </si>
  <si>
    <t>正常推进</t>
  </si>
  <si>
    <t>K83729102L91</t>
  </si>
  <si>
    <t>李四</t>
  </si>
  <si>
    <t>财务中台POC</t>
  </si>
  <si>
    <t>P1</t>
  </si>
  <si>
    <t>客户需求变更频繁</t>
  </si>
  <si>
    <t>A99281734B11</t>
  </si>
  <si>
    <t>王五</t>
  </si>
  <si>
    <t>P4</t>
  </si>
  <si>
    <t>已通过</t>
  </si>
  <si>
    <t>等待客户付款</t>
  </si>
  <si>
    <t>K83729102111</t>
    <phoneticPr fontId="1" type="noConversion"/>
  </si>
  <si>
    <t>商机编号</t>
    <phoneticPr fontId="1" type="noConversion"/>
  </si>
  <si>
    <t>供应链金融</t>
    <phoneticPr fontId="1" type="noConversion"/>
  </si>
  <si>
    <t>校验列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</si>
</sst>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1F1F1F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1F1F1F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/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176" fontId="4" fillId="2" borderId="1" xfId="0" applyNumberFormat="1" applyFont="1" applyFill="1" applyBorder="1" applyAlignment="1">
      <alignment horizontal="center" vertical="center" wrapText="1" readingOrder="1"/>
    </xf>
    <xf numFmtId="0" fontId="6" fillId="0" borderId="1" xfId="0" applyFont="1" applyBorder="1"/>
  </cellXfs>
  <cellStyles count="1">
    <cellStyle name="常规" xfId="0" builtinId="0"/>
  </cellStyles>
  <dxfs count="11">
    <dxf>
      <font>
        <color rgb="FFFF0000"/>
      </font>
    </dxf>
    <dxf>
      <fill>
        <patternFill>
          <bgColor rgb="FFFF0000"/>
        </patternFill>
      </fill>
    </dxf>
    <dxf>
      <font>
        <color theme="9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7" sqref="J7"/>
    </sheetView>
  </sheetViews>
  <sheetFormatPr defaultRowHeight="14" x14ac:dyDescent="0.25"/>
  <cols>
    <col min="1" max="1" width="13.6640625" style="1" customWidth="1"/>
    <col min="2" max="2" width="8.6640625" style="1"/>
    <col min="3" max="3" width="16.58203125" style="1" customWidth="1"/>
    <col min="4" max="4" width="9.08203125" style="1" customWidth="1"/>
    <col min="5" max="5" width="11.08203125" style="1" customWidth="1"/>
    <col min="6" max="6" width="11.58203125" style="1" customWidth="1"/>
    <col min="7" max="7" width="10.9140625" style="1" customWidth="1"/>
    <col min="8" max="8" width="9.4140625" style="1" customWidth="1"/>
    <col min="9" max="9" width="8.75" style="1" bestFit="1" customWidth="1"/>
    <col min="10" max="11" width="8.6640625" style="1"/>
    <col min="12" max="12" width="17" style="1" customWidth="1"/>
    <col min="13" max="13" width="60.75" style="1" customWidth="1"/>
    <col min="14" max="16384" width="8.6640625" style="1"/>
  </cols>
  <sheetData>
    <row r="1" spans="1:13" x14ac:dyDescent="0.25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31</v>
      </c>
    </row>
    <row r="2" spans="1:13" x14ac:dyDescent="0.25">
      <c r="A2" s="4" t="s">
        <v>28</v>
      </c>
      <c r="B2" s="4" t="s">
        <v>11</v>
      </c>
      <c r="C2" s="5" t="s">
        <v>12</v>
      </c>
      <c r="D2" s="4" t="s">
        <v>13</v>
      </c>
      <c r="E2" s="4" t="s">
        <v>14</v>
      </c>
      <c r="F2" s="6">
        <v>45292</v>
      </c>
      <c r="G2" s="6">
        <v>45473</v>
      </c>
      <c r="H2" s="4">
        <v>0</v>
      </c>
      <c r="I2" s="4">
        <v>0</v>
      </c>
      <c r="J2" s="4" t="s">
        <v>15</v>
      </c>
      <c r="K2" s="4" t="s">
        <v>16</v>
      </c>
      <c r="L2" s="5" t="s">
        <v>17</v>
      </c>
      <c r="M2" s="7" t="str">
        <f ca="1">IF(AND(TODAY() &gt; G2+30, OR(E2="交付中", E2="交付&amp;运维", E2="运维中", E2="挂起")), "❌ 错误：项目已严重超期！请改为[状态：已完结/终止]或更新结束时间", "✅ 正常")</f>
        <v>❌ 错误：项目已严重超期！请改为[状态：已完结/终止]或更新结束时间</v>
      </c>
    </row>
    <row r="3" spans="1:13" x14ac:dyDescent="0.25">
      <c r="A3" s="4" t="s">
        <v>18</v>
      </c>
      <c r="B3" s="4" t="s">
        <v>19</v>
      </c>
      <c r="C3" s="5" t="s">
        <v>20</v>
      </c>
      <c r="D3" s="4" t="s">
        <v>21</v>
      </c>
      <c r="E3" s="4" t="s">
        <v>14</v>
      </c>
      <c r="F3" s="6">
        <v>45261</v>
      </c>
      <c r="G3" s="6">
        <v>45382</v>
      </c>
      <c r="H3" s="4">
        <v>1</v>
      </c>
      <c r="I3" s="4">
        <v>2</v>
      </c>
      <c r="J3" s="4" t="s">
        <v>15</v>
      </c>
      <c r="K3" s="4" t="s">
        <v>16</v>
      </c>
      <c r="L3" s="5" t="s">
        <v>22</v>
      </c>
      <c r="M3" s="7" t="str">
        <f t="shared" ref="M3:M4" ca="1" si="0">IF(AND(TODAY() &gt; G3+30, OR(E3="交付中", E3="交付&amp;运维", E3="运维中", E3="挂起")), "❌ 错误：项目已严重超期！请改为[状态：已完结/终止]或更新结束时间", "✅ 正常")</f>
        <v>❌ 错误：项目已严重超期！请改为[状态：已完结/终止]或更新结束时间</v>
      </c>
    </row>
    <row r="4" spans="1:13" x14ac:dyDescent="0.25">
      <c r="A4" s="4" t="s">
        <v>23</v>
      </c>
      <c r="B4" s="4" t="s">
        <v>24</v>
      </c>
      <c r="C4" s="5" t="s">
        <v>30</v>
      </c>
      <c r="D4" s="4" t="s">
        <v>25</v>
      </c>
      <c r="E4" s="4" t="s">
        <v>14</v>
      </c>
      <c r="F4" s="6">
        <v>45245</v>
      </c>
      <c r="G4" s="6">
        <v>46162</v>
      </c>
      <c r="H4" s="4">
        <v>0</v>
      </c>
      <c r="I4" s="4">
        <v>0</v>
      </c>
      <c r="J4" s="4" t="s">
        <v>15</v>
      </c>
      <c r="K4" s="4" t="s">
        <v>26</v>
      </c>
      <c r="L4" s="5" t="s">
        <v>27</v>
      </c>
      <c r="M4" s="7" t="str">
        <f t="shared" ca="1" si="0"/>
        <v>✅ 正常</v>
      </c>
    </row>
  </sheetData>
  <phoneticPr fontId="1" type="noConversion"/>
  <conditionalFormatting sqref="E2:E4">
    <cfRule type="expression" dxfId="4" priority="4">
      <formula>AND(TODAY()&gt;$G2+30, OR($E2="交付中", $E2="交付&amp;运维", $E2="运维中", $E2="挂起"))</formula>
    </cfRule>
  </conditionalFormatting>
  <conditionalFormatting sqref="M2:M4">
    <cfRule type="containsText" dxfId="3" priority="2" operator="containsText" text="❌">
      <formula>NOT(ISERROR(SEARCH("❌",M2)))</formula>
    </cfRule>
    <cfRule type="containsText" dxfId="2" priority="1" operator="containsText" text="✅">
      <formula>NOT(ISERROR(SEARCH("✅",M2)))</formula>
    </cfRule>
  </conditionalFormatting>
  <dataValidations count="4">
    <dataValidation type="list" allowBlank="1" showInputMessage="1" showErrorMessage="1" sqref="D2:D4" xr:uid="{5ED00F69-FF9A-4F46-87A3-0483F0F4E948}">
      <formula1>"P1,P2,P3,P4,P5"</formula1>
    </dataValidation>
    <dataValidation type="list" allowBlank="1" showInputMessage="1" showErrorMessage="1" sqref="J2:J4" xr:uid="{74B24D94-B976-4486-81AA-F96621A76F94}">
      <formula1>"否,是"</formula1>
    </dataValidation>
    <dataValidation type="list" allowBlank="1" showInputMessage="1" showErrorMessage="1" sqref="K2:K4" xr:uid="{86F08A83-BA02-49A3-B214-50F28EEC64DD}">
      <formula1>"已通过,无"</formula1>
    </dataValidation>
    <dataValidation type="list" allowBlank="1" showInputMessage="1" showErrorMessage="1" sqref="E2:E4" xr:uid="{63C66033-95E4-4B02-905E-94D88DCFC821}">
      <formula1>"交付中,交付&amp;运维,运维中,已完结,挂起,终止"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Tianwen Wang</dc:creator>
  <cp:lastModifiedBy>Tianwen Wang</cp:lastModifiedBy>
  <dcterms:created xsi:type="dcterms:W3CDTF">2015-06-05T18:17:20Z</dcterms:created>
  <dcterms:modified xsi:type="dcterms:W3CDTF">2026-01-15T03:21:36Z</dcterms:modified>
</cp:coreProperties>
</file>